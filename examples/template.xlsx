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Note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<sst xmlns="http://schemas.openxmlformats.org/spreadsheetml/2006/main" count="61" uniqueCount="44">
  <si>
    <t xml:space="preserve">Risk ID</t>
  </si>
  <si>
    <t xml:space="preserve">BOM</t>
  </si>
  <si>
    <t xml:space="preserve">Component</t>
  </si>
  <si>
    <t xml:space="preserve">Vulnerability ID</t>
  </si>
  <si>
    <t xml:space="preserve">Vulnerability Description</t>
  </si>
  <si>
    <t xml:space="preserve">Published Date</t>
  </si>
  <si>
    <t xml:space="preserve">Base Scoring (per Source)</t>
  </si>
  <si>
    <t xml:space="preserve">Controls</t>
  </si>
  <si>
    <t xml:space="preserve">Residual</t>
  </si>
  <si>
    <t xml:space="preserve">CVSS</t>
  </si>
  <si>
    <t xml:space="preserve">Is KEV</t>
  </si>
  <si>
    <t xml:space="preserve">Score</t>
  </si>
  <si>
    <t xml:space="preserve">Description</t>
  </si>
  <si>
    <t xml:space="preserve">IDs</t>
  </si>
  <si>
    <t xml:space="preserve">Notes</t>
  </si>
  <si>
    <t xml:space="preserve">AV</t>
  </si>
  <si>
    <t xml:space="preserve">AC</t>
  </si>
  <si>
    <t xml:space="preserve">PR</t>
  </si>
  <si>
    <t xml:space="preserve">UI</t>
  </si>
  <si>
    <t xml:space="preserve">S</t>
  </si>
  <si>
    <t xml:space="preserve">C</t>
  </si>
  <si>
    <t xml:space="preserve">I</t>
  </si>
  <si>
    <t xml:space="preserve">A</t>
  </si>
  <si>
    <t xml:space="preserve">Network</t>
  </si>
  <si>
    <t xml:space="preserve">Low</t>
  </si>
  <si>
    <t xml:space="preserve">None</t>
  </si>
  <si>
    <t xml:space="preserve">Unchanged</t>
  </si>
  <si>
    <t xml:space="preserve">Residual Risk Scoring Details</t>
  </si>
  <si>
    <t xml:space="preserve">Column Name</t>
  </si>
  <si>
    <t xml:space="preserve">Acceptable Values</t>
  </si>
  <si>
    <t xml:space="preserve">Attack Vector (AV)</t>
  </si>
  <si>
    <t xml:space="preserve">Network (0.85), Adjacent (0.62), Local (0.55), Physical (0.2)</t>
  </si>
  <si>
    <t xml:space="preserve">Attack Complexity (AC)</t>
  </si>
  <si>
    <t xml:space="preserve">Low (0.77), High (0.44)</t>
  </si>
  <si>
    <t xml:space="preserve">Privileges Required (PR)</t>
  </si>
  <si>
    <t xml:space="preserve">None (0.85), Low (0.62), High (0.27)*</t>
  </si>
  <si>
    <t xml:space="preserve">User Interaction (UI)</t>
  </si>
  <si>
    <t xml:space="preserve">None (0.85), Required (0.62)</t>
  </si>
  <si>
    <t xml:space="preserve">Scope (S)</t>
  </si>
  <si>
    <t xml:space="preserve">Unchanged, Changed</t>
  </si>
  <si>
    <t xml:space="preserve">Confidentiality (C)</t>
  </si>
  <si>
    <t xml:space="preserve">None (0), Low (0.22), High (0.56)</t>
  </si>
  <si>
    <t xml:space="preserve">Integrity (I)</t>
  </si>
  <si>
    <t xml:space="preserve">Availability (A)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</si>
</sst>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729FCF"/>
        <bgColor rgb="FF969696"/>
      </patternFill>
    </fill>
    <fill>
      <patternFill patternType="solid">
        <fgColor rgb="FFE0C2CD"/>
        <bgColor rgb="FFB4C7DC"/>
      </patternFill>
    </fill>
    <fill>
      <patternFill patternType="solid">
        <fgColor rgb="FFFFF5CE"/>
        <bgColor rgb="FFFFFFFF"/>
      </patternFill>
    </fill>
    <fill>
      <patternFill patternType="solid">
        <fgColor rgb="FFE8F2A1"/>
        <bgColor rgb="FFFFF5CE"/>
      </patternFill>
    </fill>
    <fill>
      <patternFill patternType="solid">
        <fgColor rgb="FFB4C7DC"/>
        <bgColor rgb="FF99CCFF"/>
      </patternFill>
    </fill>
    <fill>
      <patternFill patternType="solid">
        <fgColor rgb="FFFFDBB6"/>
        <bgColor rgb="FFFFF5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FF5CE"/>
      <rgbColor rgb="FFCCFFFF"/>
      <rgbColor rgb="FF660066"/>
      <rgbColor rgb="FFFF8080"/>
      <rgbColor rgb="FF0066CC"/>
      <rgbColor rgb="FFE0C2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2.38"/>
    <col collapsed="false" customWidth="true" hidden="false" outlineLevel="0" max="2" min="2" style="2" width="18.64"/>
    <col collapsed="false" customWidth="true" hidden="false" outlineLevel="0" max="3" min="3" style="2" width="37.69"/>
    <col collapsed="false" customWidth="true" hidden="false" outlineLevel="0" max="4" min="4" style="1" width="17.57"/>
    <col collapsed="false" customWidth="true" hidden="false" outlineLevel="0" max="5" min="5" style="2" width="50.36"/>
    <col collapsed="false" customWidth="true" hidden="false" outlineLevel="0" max="6" min="6" style="1" width="22.02"/>
    <col collapsed="false" customWidth="true" hidden="false" outlineLevel="0" max="7" min="7" style="2" width="42.19"/>
    <col collapsed="false" customWidth="true" hidden="false" outlineLevel="0" max="8" min="8" style="2" width="14.33"/>
    <col collapsed="false" customWidth="true" hidden="false" outlineLevel="0" max="9" min="9" style="1" width="14.33"/>
    <col collapsed="false" customWidth="true" hidden="false" outlineLevel="0" max="12" min="10" style="1" width="21.04"/>
    <col collapsed="false" customWidth="true" hidden="false" outlineLevel="0" max="20" min="13" style="1" width="11.39"/>
    <col collapsed="false" customWidth="true" hidden="false" outlineLevel="0" max="21" min="21" style="3" width="41.08"/>
    <col collapsed="false" customWidth="true" hidden="false" outlineLevel="0" max="22" min="22" style="1" width="13.81"/>
  </cols>
  <sheetData>
    <row r="1" customFormat="false" ht="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/>
      <c r="I1" s="5"/>
      <c r="J1" s="6" t="s">
        <v>7</v>
      </c>
      <c r="K1" s="6"/>
      <c r="L1" s="6"/>
      <c r="M1" s="7" t="s">
        <v>8</v>
      </c>
      <c r="N1" s="7"/>
      <c r="O1" s="7"/>
      <c r="P1" s="7"/>
      <c r="Q1" s="7"/>
      <c r="R1" s="7"/>
      <c r="S1" s="7"/>
      <c r="T1" s="7"/>
      <c r="U1" s="7"/>
      <c r="V1" s="7"/>
    </row>
    <row r="2" customFormat="false" ht="15" hidden="false" customHeight="false" outlineLevel="0" collapsed="false">
      <c r="A2" s="4"/>
      <c r="B2" s="4"/>
      <c r="C2" s="4"/>
      <c r="D2" s="4"/>
      <c r="E2" s="4"/>
      <c r="F2" s="4"/>
      <c r="G2" s="5" t="s">
        <v>9</v>
      </c>
      <c r="H2" s="5" t="s">
        <v>10</v>
      </c>
      <c r="I2" s="5" t="s">
        <v>11</v>
      </c>
      <c r="J2" s="6" t="s">
        <v>12</v>
      </c>
      <c r="K2" s="6" t="s">
        <v>13</v>
      </c>
      <c r="L2" s="6" t="s">
        <v>14</v>
      </c>
      <c r="M2" s="7" t="s">
        <v>15</v>
      </c>
      <c r="N2" s="7" t="s">
        <v>16</v>
      </c>
      <c r="O2" s="7" t="s">
        <v>17</v>
      </c>
      <c r="P2" s="7" t="s">
        <v>18</v>
      </c>
      <c r="Q2" s="7" t="s">
        <v>19</v>
      </c>
      <c r="R2" s="7" t="s">
        <v>20</v>
      </c>
      <c r="S2" s="7" t="s">
        <v>21</v>
      </c>
      <c r="T2" s="7" t="s">
        <v>22</v>
      </c>
      <c r="U2" s="7" t="s">
        <v>9</v>
      </c>
      <c r="V2" s="7" t="s">
        <v>11</v>
      </c>
    </row>
    <row r="3" s="11" customFormat="true" ht="12.75" hidden="false" customHeight="true" outlineLevel="0" collapsed="false">
      <c r="A3" s="8"/>
      <c r="B3" s="9"/>
      <c r="C3" s="9"/>
      <c r="D3" s="8"/>
      <c r="E3" s="9"/>
      <c r="F3" s="8"/>
      <c r="G3" s="9"/>
      <c r="H3" s="9"/>
      <c r="I3" s="8"/>
      <c r="J3" s="8"/>
      <c r="K3" s="8"/>
      <c r="L3" s="8"/>
      <c r="M3" s="10" t="s">
        <v>23</v>
      </c>
      <c r="N3" s="10" t="s">
        <v>24</v>
      </c>
      <c r="O3" s="10" t="s">
        <v>25</v>
      </c>
      <c r="P3" s="10" t="s">
        <v>25</v>
      </c>
      <c r="Q3" s="10" t="s">
        <v>26</v>
      </c>
      <c r="R3" s="10" t="s">
        <v>24</v>
      </c>
      <c r="S3" s="10" t="s">
        <v>24</v>
      </c>
      <c r="T3" s="10" t="s">
        <v>24</v>
      </c>
      <c r="U3" s="8" t="str">
        <f aca="false">"CVSS:3.0/AV:"&amp;_xlfn.SWITCH(M3,"Network","N","Adjacent","A","Local","L","Physical","P")&amp;"/AC:"&amp;LEFT(N3,1)&amp;"/PR:"&amp;LEFT(O3,1)&amp;"/UI:"&amp;_xlfn.SWITCH(P3,"None","N","Required","R")&amp;"/S:"&amp;LEFT(Q3,1)&amp;"/C:"&amp;LEFT(R3,1)&amp;"/I:"&amp;LEFT(S3,1)&amp;"/A:"&amp;LEFT(T3,1)</f>
        <v>CVSS:3.0/AV:N/AC:L/PR:N/UI:N/S:U/C:L/I:L/A:L</v>
      </c>
      <c r="V3" s="8" t="n">
        <f aca="false">GET_CVSS(M3, N3, O3, P3, Q3, R3, S3, T3)</f>
        <v>7.3</v>
      </c>
    </row>
  </sheetData>
  <mergeCells count="9">
    <mergeCell ref="A1:A2"/>
    <mergeCell ref="B1:B2"/>
    <mergeCell ref="C1:C2"/>
    <mergeCell ref="D1:D2"/>
    <mergeCell ref="E1:E2"/>
    <mergeCell ref="F1:F2"/>
    <mergeCell ref="G1:I1"/>
    <mergeCell ref="J1:L1"/>
    <mergeCell ref="M1:V1"/>
  </mergeCells>
  <dataValidations count="6">
    <dataValidation allowBlank="true" errorStyle="stop" operator="equal" showDropDown="false" showErrorMessage="true" showInputMessage="false" sqref="M3" type="list">
      <formula1>"Network,Adjacent,Local,Physical"</formula1>
      <formula2>0</formula2>
    </dataValidation>
    <dataValidation allowBlank="true" errorStyle="stop" operator="equal" showDropDown="false" showErrorMessage="true" showInputMessage="false" sqref="N3" type="list">
      <formula1>"Low,High,"</formula1>
      <formula2>0</formula2>
    </dataValidation>
    <dataValidation allowBlank="true" errorStyle="stop" operator="equal" showDropDown="false" showErrorMessage="true" showInputMessage="false" sqref="R3:T3" type="list">
      <formula1>"None,Low,High"</formula1>
      <formula2>0</formula2>
    </dataValidation>
    <dataValidation allowBlank="true" errorStyle="stop" operator="equal" showDropDown="false" showErrorMessage="true" showInputMessage="false" sqref="O3" type="list">
      <formula1>"None,Low,High"</formula1>
      <formula2>0</formula2>
    </dataValidation>
    <dataValidation allowBlank="true" errorStyle="stop" operator="equal" showDropDown="false" showErrorMessage="true" showInputMessage="false" sqref="P3" type="list">
      <formula1>"None,Required,"</formula1>
      <formula2>0</formula2>
    </dataValidation>
    <dataValidation allowBlank="true" errorStyle="stop" operator="equal" showDropDown="false" showErrorMessage="true" showInputMessage="false" sqref="Q3" type="list">
      <formula1>"Unchanged,Changed"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2" width="13.81"/>
    <col collapsed="false" customWidth="true" hidden="false" outlineLevel="0" max="2" min="2" style="12" width="21.32"/>
    <col collapsed="false" customWidth="true" hidden="false" outlineLevel="0" max="4" min="3" style="12" width="49.42"/>
  </cols>
  <sheetData>
    <row r="1" customFormat="false" ht="12.8" hidden="false" customHeight="false" outlineLevel="0" collapsed="false">
      <c r="A1" s="13"/>
      <c r="B1" s="13"/>
      <c r="C1" s="13"/>
      <c r="D1" s="14"/>
    </row>
    <row r="2" customFormat="false" ht="15" hidden="false" customHeight="false" outlineLevel="0" collapsed="false">
      <c r="A2" s="15" t="s">
        <v>27</v>
      </c>
      <c r="B2" s="15"/>
      <c r="C2" s="15"/>
      <c r="D2" s="14"/>
    </row>
    <row r="3" customFormat="false" ht="12.8" hidden="false" customHeight="false" outlineLevel="0" collapsed="false">
      <c r="A3" s="16" t="s">
        <v>28</v>
      </c>
      <c r="B3" s="16" t="s">
        <v>12</v>
      </c>
      <c r="C3" s="16" t="s">
        <v>29</v>
      </c>
      <c r="D3" s="14"/>
    </row>
    <row r="4" customFormat="false" ht="12.8" hidden="false" customHeight="false" outlineLevel="0" collapsed="false">
      <c r="A4" s="17" t="s">
        <v>15</v>
      </c>
      <c r="B4" s="18" t="s">
        <v>30</v>
      </c>
      <c r="C4" s="18" t="s">
        <v>31</v>
      </c>
      <c r="D4" s="3"/>
    </row>
    <row r="5" customFormat="false" ht="12.8" hidden="false" customHeight="false" outlineLevel="0" collapsed="false">
      <c r="A5" s="17" t="s">
        <v>16</v>
      </c>
      <c r="B5" s="18" t="s">
        <v>32</v>
      </c>
      <c r="C5" s="18" t="s">
        <v>33</v>
      </c>
      <c r="D5" s="3"/>
    </row>
    <row r="6" customFormat="false" ht="12.8" hidden="false" customHeight="false" outlineLevel="0" collapsed="false">
      <c r="A6" s="17" t="s">
        <v>17</v>
      </c>
      <c r="B6" s="18" t="s">
        <v>34</v>
      </c>
      <c r="C6" s="18" t="s">
        <v>35</v>
      </c>
      <c r="D6" s="3"/>
    </row>
    <row r="7" customFormat="false" ht="12.8" hidden="false" customHeight="false" outlineLevel="0" collapsed="false">
      <c r="A7" s="17" t="s">
        <v>18</v>
      </c>
      <c r="B7" s="18" t="s">
        <v>36</v>
      </c>
      <c r="C7" s="18" t="s">
        <v>37</v>
      </c>
      <c r="D7" s="3"/>
    </row>
    <row r="8" customFormat="false" ht="12.8" hidden="false" customHeight="false" outlineLevel="0" collapsed="false">
      <c r="A8" s="17" t="s">
        <v>19</v>
      </c>
      <c r="B8" s="18" t="s">
        <v>38</v>
      </c>
      <c r="C8" s="18" t="s">
        <v>39</v>
      </c>
      <c r="D8" s="3"/>
    </row>
    <row r="9" customFormat="false" ht="12.8" hidden="false" customHeight="false" outlineLevel="0" collapsed="false">
      <c r="A9" s="17" t="s">
        <v>20</v>
      </c>
      <c r="B9" s="18" t="s">
        <v>40</v>
      </c>
      <c r="C9" s="18" t="s">
        <v>41</v>
      </c>
      <c r="D9" s="3"/>
    </row>
    <row r="10" customFormat="false" ht="12.8" hidden="false" customHeight="false" outlineLevel="0" collapsed="false">
      <c r="A10" s="17" t="s">
        <v>21</v>
      </c>
      <c r="B10" s="18" t="s">
        <v>42</v>
      </c>
      <c r="C10" s="18" t="s">
        <v>41</v>
      </c>
      <c r="D10" s="3"/>
    </row>
    <row r="11" customFormat="false" ht="12.8" hidden="false" customHeight="false" outlineLevel="0" collapsed="false">
      <c r="A11" s="17" t="s">
        <v>22</v>
      </c>
      <c r="B11" s="18" t="s">
        <v>43</v>
      </c>
      <c r="C11" s="18" t="s">
        <v>41</v>
      </c>
      <c r="D11" s="3"/>
    </row>
  </sheetData>
  <mergeCells count="1">
    <mergeCell ref="A2:C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2026-03-01T19:09:30Z</dcterms:created>
  <dc:creator/>
  <dc:description/>
  <dc:language>en-US</dc:language>
  <cp:lastModifiedBy/>
  <dcterms:modified xsi:type="dcterms:W3CDTF">2026-03-05T08:51:42Z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