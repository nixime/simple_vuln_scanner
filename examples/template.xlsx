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Notes" sheetId="2" state="visible" r:id="rId4"/>
  </sheets>
  <definedNames>
    <definedName function="false" hidden="true" localSheetId="0" name="_xlnm._FilterDatabase" vbProcedure="false">Sheet1!$A$2:$X$3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<sst xmlns="http://schemas.openxmlformats.org/spreadsheetml/2006/main" count="92" uniqueCount="60">
  <si>
    <t xml:space="preserve">Basic Information</t>
  </si>
  <si>
    <t xml:space="preserve">Base Scoring (per Source)</t>
  </si>
  <si>
    <t xml:space="preserve">Controls</t>
  </si>
  <si>
    <t xml:space="preserve">Residual CVSS</t>
  </si>
  <si>
    <t xml:space="preserve">Safety Assessment</t>
  </si>
  <si>
    <t xml:space="preserve">Risk ID</t>
  </si>
  <si>
    <t xml:space="preserve">BOM</t>
  </si>
  <si>
    <t xml:space="preserve">Component</t>
  </si>
  <si>
    <t xml:space="preserve">Vulnerability ID</t>
  </si>
  <si>
    <t xml:space="preserve">Vulnerability Description</t>
  </si>
  <si>
    <t xml:space="preserve">Published Date</t>
  </si>
  <si>
    <t xml:space="preserve">CVSS</t>
  </si>
  <si>
    <t xml:space="preserve">Is KEV</t>
  </si>
  <si>
    <t xml:space="preserve">Score</t>
  </si>
  <si>
    <t xml:space="preserve">Description</t>
  </si>
  <si>
    <t xml:space="preserve">IDs</t>
  </si>
  <si>
    <t xml:space="preserve">Notes</t>
  </si>
  <si>
    <t xml:space="preserve">AV</t>
  </si>
  <si>
    <t xml:space="preserve">AC</t>
  </si>
  <si>
    <t xml:space="preserve">PR</t>
  </si>
  <si>
    <t xml:space="preserve">UI</t>
  </si>
  <si>
    <t xml:space="preserve">S</t>
  </si>
  <si>
    <t xml:space="preserve">C</t>
  </si>
  <si>
    <t xml:space="preserve">I</t>
  </si>
  <si>
    <t xml:space="preserve">A</t>
  </si>
  <si>
    <t xml:space="preserve">Safety Rating</t>
  </si>
  <si>
    <t xml:space="preserve">Overall Status</t>
  </si>
  <si>
    <t xml:space="preserve">Network</t>
  </si>
  <si>
    <t xml:space="preserve">Low</t>
  </si>
  <si>
    <t xml:space="preserve">None</t>
  </si>
  <si>
    <t xml:space="preserve">Unchanged</t>
  </si>
  <si>
    <t xml:space="preserve">Residual Risk Scoring Details</t>
  </si>
  <si>
    <t xml:space="preserve">Cyber to Safety Heat-Map</t>
  </si>
  <si>
    <t xml:space="preserve">Column Name</t>
  </si>
  <si>
    <t xml:space="preserve">Acceptable Values</t>
  </si>
  <si>
    <t xml:space="preserve">Cyber Risk</t>
  </si>
  <si>
    <t xml:space="preserve">Min CVSS Score</t>
  </si>
  <si>
    <t xml:space="preserve">Negligible</t>
  </si>
  <si>
    <t xml:space="preserve">Minor / Marginal</t>
  </si>
  <si>
    <t xml:space="preserve">Serious</t>
  </si>
  <si>
    <t xml:space="preserve">Critical / Catastrophic</t>
  </si>
  <si>
    <t xml:space="preserve">Attack Vector (AV)</t>
  </si>
  <si>
    <t xml:space="preserve">Network (0.85), Adjacent (0.62), Local (0.55), Physical (0.2)</t>
  </si>
  <si>
    <t xml:space="preserve">Critical</t>
  </si>
  <si>
    <t xml:space="preserve">Uncontrolled</t>
  </si>
  <si>
    <t xml:space="preserve">Attack Complexity (AC)</t>
  </si>
  <si>
    <t xml:space="preserve">Low (0.77), High (0.44)</t>
  </si>
  <si>
    <t xml:space="preserve">High</t>
  </si>
  <si>
    <t xml:space="preserve">Controlled</t>
  </si>
  <si>
    <t xml:space="preserve">Privileges Required (PR)</t>
  </si>
  <si>
    <t xml:space="preserve">None (0.85), Low (0.62), High (0.27)*</t>
  </si>
  <si>
    <t xml:space="preserve">Medium</t>
  </si>
  <si>
    <t xml:space="preserve">User Interaction (UI)</t>
  </si>
  <si>
    <t xml:space="preserve">None (0.85), Required (0.62)</t>
  </si>
  <si>
    <t xml:space="preserve">Scope (S)</t>
  </si>
  <si>
    <t xml:space="preserve">Unchanged, Changed</t>
  </si>
  <si>
    <t xml:space="preserve">Confidentiality (C)</t>
  </si>
  <si>
    <t xml:space="preserve">None (0), Low (0.22), High (0.56)</t>
  </si>
  <si>
    <t xml:space="preserve">Integrity (I)</t>
  </si>
  <si>
    <t xml:space="preserve">Availability (A)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</si>
</sst>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99CCFF"/>
      </patternFill>
    </fill>
    <fill>
      <patternFill patternType="solid">
        <fgColor rgb="FFDEDCE6"/>
        <bgColor rgb="FFFFD7D7"/>
      </patternFill>
    </fill>
    <fill>
      <patternFill patternType="solid">
        <fgColor rgb="FFFFF5CE"/>
        <bgColor rgb="FFF6F9D4"/>
      </patternFill>
    </fill>
    <fill>
      <patternFill patternType="solid">
        <fgColor rgb="FFF6F9D4"/>
        <bgColor rgb="FFFFF5CE"/>
      </patternFill>
    </fill>
    <fill>
      <patternFill patternType="solid">
        <fgColor rgb="FFFFD7D7"/>
        <bgColor rgb="FFFFCCCC"/>
      </patternFill>
    </fill>
    <fill>
      <patternFill patternType="solid">
        <fgColor rgb="FFFFDBB6"/>
        <bgColor rgb="FFFFD7D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B4C7D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EDCE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5CE"/>
          <bgColor rgb="FF000000"/>
        </patternFill>
      </fill>
    </dxf>
    <dxf>
      <fill>
        <patternFill patternType="solid">
          <fgColor rgb="FFF6F9D4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ont>
        <name val="Arial"/>
        <charset val="1"/>
        <family val="2"/>
        <color rgb="FF006600"/>
      </font>
      <fill>
        <patternFill>
          <bgColor rgb="FFCCFFCC"/>
        </patternFill>
      </fill>
    </dxf>
    <dxf>
      <font>
        <name val="Arial"/>
        <charset val="1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5CE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7D7"/>
      <rgbColor rgb="FF99CCFF"/>
      <rgbColor rgb="FFFFCC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38"/>
    <col collapsed="false" customWidth="true" hidden="false" outlineLevel="0" max="2" min="2" style="2" width="18.64"/>
    <col collapsed="false" customWidth="true" hidden="false" outlineLevel="0" max="3" min="3" style="2" width="37.69"/>
    <col collapsed="false" customWidth="true" hidden="false" outlineLevel="0" max="4" min="4" style="1" width="19.61"/>
    <col collapsed="false" customWidth="true" hidden="false" outlineLevel="0" max="5" min="5" style="2" width="50.36"/>
    <col collapsed="false" customWidth="true" hidden="false" outlineLevel="0" max="6" min="6" style="1" width="22.02"/>
    <col collapsed="false" customWidth="true" hidden="false" outlineLevel="0" max="7" min="7" style="2" width="42.19"/>
    <col collapsed="false" customWidth="true" hidden="false" outlineLevel="0" max="8" min="8" style="2" width="14.33"/>
    <col collapsed="false" customWidth="true" hidden="false" outlineLevel="0" max="9" min="9" style="1" width="14.33"/>
    <col collapsed="false" customWidth="true" hidden="false" outlineLevel="0" max="12" min="10" style="1" width="21.04"/>
    <col collapsed="false" customWidth="true" hidden="false" outlineLevel="0" max="20" min="13" style="1" width="11.39"/>
    <col collapsed="false" customWidth="true" hidden="false" outlineLevel="0" max="21" min="21" style="3" width="41.08"/>
    <col collapsed="false" customWidth="true" hidden="false" outlineLevel="0" max="22" min="22" style="1" width="13.81"/>
    <col collapsed="false" customWidth="true" hidden="false" outlineLevel="0" max="23" min="23" style="1" width="18.54"/>
    <col collapsed="false" customWidth="true" hidden="false" outlineLevel="0" max="24" min="24" style="1" width="19.1"/>
  </cols>
  <sheetData>
    <row r="1" customFormat="false" ht="15" hidden="false" customHeight="false" outlineLevel="0" collapsed="false">
      <c r="A1" s="4" t="s">
        <v>0</v>
      </c>
      <c r="B1" s="4"/>
      <c r="C1" s="4"/>
      <c r="D1" s="4"/>
      <c r="E1" s="4"/>
      <c r="F1" s="4"/>
      <c r="G1" s="5" t="s">
        <v>1</v>
      </c>
      <c r="H1" s="5"/>
      <c r="I1" s="5"/>
      <c r="J1" s="6" t="s">
        <v>2</v>
      </c>
      <c r="K1" s="6"/>
      <c r="L1" s="6"/>
      <c r="M1" s="7" t="s">
        <v>3</v>
      </c>
      <c r="N1" s="7"/>
      <c r="O1" s="7"/>
      <c r="P1" s="7"/>
      <c r="Q1" s="7"/>
      <c r="R1" s="7"/>
      <c r="S1" s="7"/>
      <c r="T1" s="7"/>
      <c r="U1" s="7"/>
      <c r="V1" s="7"/>
      <c r="W1" s="8" t="s">
        <v>4</v>
      </c>
      <c r="X1" s="8"/>
    </row>
    <row r="2" customFormat="false" ht="15" hidden="false" customHeight="false" outlineLevel="0" collapsed="false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5" t="s">
        <v>11</v>
      </c>
      <c r="H2" s="5" t="s">
        <v>12</v>
      </c>
      <c r="I2" s="5" t="s">
        <v>13</v>
      </c>
      <c r="J2" s="6" t="s">
        <v>14</v>
      </c>
      <c r="K2" s="6" t="s">
        <v>15</v>
      </c>
      <c r="L2" s="6" t="s">
        <v>16</v>
      </c>
      <c r="M2" s="7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22</v>
      </c>
      <c r="S2" s="7" t="s">
        <v>23</v>
      </c>
      <c r="T2" s="7" t="s">
        <v>24</v>
      </c>
      <c r="U2" s="7" t="s">
        <v>11</v>
      </c>
      <c r="V2" s="7" t="s">
        <v>13</v>
      </c>
      <c r="W2" s="9" t="s">
        <v>25</v>
      </c>
      <c r="X2" s="9" t="s">
        <v>26</v>
      </c>
    </row>
    <row r="3" customFormat="false" ht="12.75" hidden="false" customHeight="true" outlineLevel="0" collapsed="false">
      <c r="A3" s="10"/>
      <c r="B3" s="11"/>
      <c r="C3" s="11"/>
      <c r="D3" s="10"/>
      <c r="E3" s="11"/>
      <c r="F3" s="10"/>
      <c r="G3" s="11"/>
      <c r="H3" s="11"/>
      <c r="I3" s="10"/>
      <c r="J3" s="10"/>
      <c r="K3" s="10"/>
      <c r="L3" s="10"/>
      <c r="M3" s="12" t="s">
        <v>27</v>
      </c>
      <c r="N3" s="12" t="s">
        <v>28</v>
      </c>
      <c r="O3" s="12" t="s">
        <v>29</v>
      </c>
      <c r="P3" s="12" t="s">
        <v>29</v>
      </c>
      <c r="Q3" s="12" t="s">
        <v>30</v>
      </c>
      <c r="R3" s="12" t="s">
        <v>28</v>
      </c>
      <c r="S3" s="12" t="s">
        <v>28</v>
      </c>
      <c r="T3" s="12" t="s">
        <v>28</v>
      </c>
      <c r="U3" s="10" t="str">
        <f aca="false">"CVSS:3.0/AV:"&amp;_xlfn.SWITCH(M3,"Network","N","Adjacent","A","Local","L","Physical","P")&amp;"/AC:"&amp;LEFT(N3,1)&amp;"/PR:"&amp;LEFT(O3,1)&amp;"/UI:"&amp;_xlfn.SWITCH(P3,"None","N","Required","R")&amp;"/S:"&amp;LEFT(Q3,1)&amp;"/C:"&amp;LEFT(R3,1)&amp;"/I:"&amp;LEFT(S3,1)&amp;"/A:"&amp;LEFT(T3,1)</f>
        <v>CVSS:3.0/AV:N/AC:L/PR:N/UI:N/S:U/C:L/I:L/A:L</v>
      </c>
      <c r="V3" s="10" t="n">
        <f aca="false">GET_CVSS(M3, N3, O3, P3, Q3, R3, S3, T3)</f>
        <v>7.3</v>
      </c>
      <c r="W3" s="12"/>
      <c r="X3" s="13" t="e">
        <f aca="false">INDEX(Notes!G4:J7,_xlfn.IFS( V3&gt;=Notes!F4, 1, V3&gt;=Notes!F5, 2, A2&gt;=Notes!F6, 3, A2&lt;"$Notes.F6",4 ),MATCH(W3,Notes!G3:J3,0))</f>
        <v>#N/A</v>
      </c>
    </row>
  </sheetData>
  <autoFilter ref="A2:X3"/>
  <mergeCells count="5">
    <mergeCell ref="A1:F1"/>
    <mergeCell ref="G1:I1"/>
    <mergeCell ref="J1:L1"/>
    <mergeCell ref="M1:V1"/>
    <mergeCell ref="W1:X1"/>
  </mergeCells>
  <conditionalFormatting sqref="X3">
    <cfRule type="cellIs" priority="2" operator="equal" aboveAverage="0" equalAverage="0" bottom="0" percent="0" rank="0" text="" dxfId="7">
      <formula>"Controlled"</formula>
    </cfRule>
  </conditionalFormatting>
  <conditionalFormatting sqref="X3">
    <cfRule type="cellIs" priority="3" operator="equal" aboveAverage="0" equalAverage="0" bottom="0" percent="0" rank="0" text="" dxfId="8">
      <formula>"Uncontrolled"</formula>
    </cfRule>
  </conditionalFormatting>
  <dataValidations count="7">
    <dataValidation allowBlank="true" errorStyle="stop" operator="equal" showDropDown="false" showErrorMessage="true" showInputMessage="false" sqref="M3" type="list">
      <formula1>"Network,Adjacent,Local,Physical"</formula1>
      <formula2>0</formula2>
    </dataValidation>
    <dataValidation allowBlank="true" errorStyle="stop" operator="equal" showDropDown="false" showErrorMessage="true" showInputMessage="false" sqref="N3" type="list">
      <formula1>"Low,High,"</formula1>
      <formula2>0</formula2>
    </dataValidation>
    <dataValidation allowBlank="true" errorStyle="stop" operator="equal" showDropDown="false" showErrorMessage="true" showInputMessage="false" sqref="R3:T3" type="list">
      <formula1>"None,Low,High"</formula1>
      <formula2>0</formula2>
    </dataValidation>
    <dataValidation allowBlank="true" errorStyle="stop" operator="equal" showDropDown="false" showErrorMessage="true" showInputMessage="false" sqref="O3" type="list">
      <formula1>"None,Low,High"</formula1>
      <formula2>0</formula2>
    </dataValidation>
    <dataValidation allowBlank="true" errorStyle="stop" operator="equal" showDropDown="false" showErrorMessage="true" showInputMessage="false" sqref="P3" type="list">
      <formula1>"None,Required,"</formula1>
      <formula2>0</formula2>
    </dataValidation>
    <dataValidation allowBlank="true" errorStyle="stop" operator="equal" showDropDown="false" showErrorMessage="true" showInputMessage="false" sqref="Q3" type="list">
      <formula1>"Unchanged,Changed"</formula1>
      <formula2>0</formula2>
    </dataValidation>
    <dataValidation allowBlank="true" errorStyle="stop" operator="equal" showDropDown="false" showErrorMessage="true" showInputMessage="false" sqref="W3" type="list">
      <formula1>Notes!$G$3:$J$3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4" width="13.81"/>
    <col collapsed="false" customWidth="true" hidden="false" outlineLevel="0" max="2" min="2" style="14" width="21.32"/>
    <col collapsed="false" customWidth="true" hidden="false" outlineLevel="0" max="3" min="3" style="14" width="49.42"/>
    <col collapsed="false" customWidth="true" hidden="false" outlineLevel="0" max="4" min="4" style="14" width="9.73"/>
    <col collapsed="false" customWidth="true" hidden="false" outlineLevel="0" max="6" min="6" style="1" width="9.87"/>
    <col collapsed="false" customWidth="true" hidden="false" outlineLevel="0" max="10" min="7" style="3" width="13.75"/>
  </cols>
  <sheetData>
    <row r="1" customFormat="false" ht="12.8" hidden="false" customHeight="false" outlineLevel="0" collapsed="false">
      <c r="A1" s="15"/>
      <c r="B1" s="15"/>
      <c r="C1" s="15"/>
      <c r="D1" s="16"/>
    </row>
    <row r="2" customFormat="false" ht="15" hidden="false" customHeight="false" outlineLevel="0" collapsed="false">
      <c r="A2" s="17" t="s">
        <v>31</v>
      </c>
      <c r="B2" s="17"/>
      <c r="C2" s="17"/>
      <c r="D2" s="16"/>
      <c r="E2" s="18" t="s">
        <v>32</v>
      </c>
      <c r="F2" s="18"/>
      <c r="G2" s="18"/>
      <c r="H2" s="18"/>
      <c r="I2" s="18"/>
      <c r="J2" s="18"/>
    </row>
    <row r="3" customFormat="false" ht="23.85" hidden="false" customHeight="false" outlineLevel="0" collapsed="false">
      <c r="A3" s="19" t="s">
        <v>33</v>
      </c>
      <c r="B3" s="19" t="s">
        <v>14</v>
      </c>
      <c r="C3" s="19" t="s">
        <v>34</v>
      </c>
      <c r="D3" s="16"/>
      <c r="E3" s="20" t="s">
        <v>35</v>
      </c>
      <c r="F3" s="21" t="s">
        <v>36</v>
      </c>
      <c r="G3" s="21" t="s">
        <v>37</v>
      </c>
      <c r="H3" s="21" t="s">
        <v>38</v>
      </c>
      <c r="I3" s="21" t="s">
        <v>39</v>
      </c>
      <c r="J3" s="21" t="s">
        <v>40</v>
      </c>
    </row>
    <row r="4" customFormat="false" ht="12.8" hidden="false" customHeight="false" outlineLevel="0" collapsed="false">
      <c r="A4" s="22" t="s">
        <v>17</v>
      </c>
      <c r="B4" s="23" t="s">
        <v>41</v>
      </c>
      <c r="C4" s="23" t="s">
        <v>42</v>
      </c>
      <c r="D4" s="3"/>
      <c r="E4" s="22" t="s">
        <v>43</v>
      </c>
      <c r="F4" s="24" t="n">
        <v>9</v>
      </c>
      <c r="G4" s="12" t="s">
        <v>44</v>
      </c>
      <c r="H4" s="12" t="s">
        <v>44</v>
      </c>
      <c r="I4" s="12" t="s">
        <v>44</v>
      </c>
      <c r="J4" s="12" t="s">
        <v>44</v>
      </c>
    </row>
    <row r="5" customFormat="false" ht="12.8" hidden="false" customHeight="false" outlineLevel="0" collapsed="false">
      <c r="A5" s="22" t="s">
        <v>18</v>
      </c>
      <c r="B5" s="23" t="s">
        <v>45</v>
      </c>
      <c r="C5" s="23" t="s">
        <v>46</v>
      </c>
      <c r="D5" s="3"/>
      <c r="E5" s="22" t="s">
        <v>47</v>
      </c>
      <c r="F5" s="24" t="n">
        <v>7</v>
      </c>
      <c r="G5" s="12" t="s">
        <v>48</v>
      </c>
      <c r="H5" s="12" t="s">
        <v>48</v>
      </c>
      <c r="I5" s="12" t="s">
        <v>44</v>
      </c>
      <c r="J5" s="12" t="s">
        <v>44</v>
      </c>
    </row>
    <row r="6" customFormat="false" ht="12.8" hidden="false" customHeight="false" outlineLevel="0" collapsed="false">
      <c r="A6" s="22" t="s">
        <v>19</v>
      </c>
      <c r="B6" s="23" t="s">
        <v>49</v>
      </c>
      <c r="C6" s="23" t="s">
        <v>50</v>
      </c>
      <c r="D6" s="3"/>
      <c r="E6" s="22" t="s">
        <v>51</v>
      </c>
      <c r="F6" s="24" t="n">
        <v>4</v>
      </c>
      <c r="G6" s="12" t="s">
        <v>48</v>
      </c>
      <c r="H6" s="12" t="s">
        <v>48</v>
      </c>
      <c r="I6" s="12" t="s">
        <v>48</v>
      </c>
      <c r="J6" s="12" t="s">
        <v>44</v>
      </c>
    </row>
    <row r="7" customFormat="false" ht="12.8" hidden="false" customHeight="false" outlineLevel="0" collapsed="false">
      <c r="A7" s="22" t="s">
        <v>20</v>
      </c>
      <c r="B7" s="23" t="s">
        <v>52</v>
      </c>
      <c r="C7" s="23" t="s">
        <v>53</v>
      </c>
      <c r="D7" s="3"/>
      <c r="E7" s="22" t="s">
        <v>28</v>
      </c>
      <c r="F7" s="24" t="n">
        <v>0</v>
      </c>
      <c r="G7" s="12" t="s">
        <v>48</v>
      </c>
      <c r="H7" s="12" t="s">
        <v>48</v>
      </c>
      <c r="I7" s="12" t="s">
        <v>48</v>
      </c>
      <c r="J7" s="12" t="s">
        <v>44</v>
      </c>
    </row>
    <row r="8" customFormat="false" ht="12.8" hidden="false" customHeight="false" outlineLevel="0" collapsed="false">
      <c r="A8" s="22" t="s">
        <v>21</v>
      </c>
      <c r="B8" s="23" t="s">
        <v>54</v>
      </c>
      <c r="C8" s="23" t="s">
        <v>55</v>
      </c>
      <c r="D8" s="3"/>
    </row>
    <row r="9" customFormat="false" ht="12.8" hidden="false" customHeight="false" outlineLevel="0" collapsed="false">
      <c r="A9" s="22" t="s">
        <v>22</v>
      </c>
      <c r="B9" s="23" t="s">
        <v>56</v>
      </c>
      <c r="C9" s="23" t="s">
        <v>57</v>
      </c>
      <c r="D9" s="3"/>
    </row>
    <row r="10" customFormat="false" ht="12.8" hidden="false" customHeight="false" outlineLevel="0" collapsed="false">
      <c r="A10" s="22" t="s">
        <v>23</v>
      </c>
      <c r="B10" s="23" t="s">
        <v>58</v>
      </c>
      <c r="C10" s="23" t="s">
        <v>57</v>
      </c>
      <c r="D10" s="3"/>
    </row>
    <row r="11" customFormat="false" ht="12.8" hidden="false" customHeight="false" outlineLevel="0" collapsed="false">
      <c r="A11" s="22" t="s">
        <v>24</v>
      </c>
      <c r="B11" s="23" t="s">
        <v>59</v>
      </c>
      <c r="C11" s="23" t="s">
        <v>57</v>
      </c>
      <c r="D11" s="3"/>
    </row>
  </sheetData>
  <mergeCells count="2">
    <mergeCell ref="A2:C2"/>
    <mergeCell ref="E2:J2"/>
  </mergeCells>
  <conditionalFormatting sqref="G4:J7">
    <cfRule type="cellIs" priority="2" operator="equal" aboveAverage="0" equalAverage="0" bottom="0" percent="0" rank="0" text="" dxfId="7">
      <formula>"Controlled"</formula>
    </cfRule>
    <cfRule type="cellIs" priority="3" operator="equal" aboveAverage="0" equalAverage="0" bottom="0" percent="0" rank="0" text="" dxfId="8">
      <formula>"Uncontrolled"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2026-03-01T19:09:30Z</dcterms:created>
  <dc:creator/>
  <dc:description/>
  <dc:language>en-US</dc:language>
  <cp:lastModifiedBy/>
  <dcterms:modified xsi:type="dcterms:W3CDTF">2026-03-06T22:37:56Z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