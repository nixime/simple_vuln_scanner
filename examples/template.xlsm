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Notes" sheetId="2" state="visible" r:id="rId4"/>
  </sheets>
  <definedNames>
    <definedName function="false" hidden="true" localSheetId="0" name="_xlnm._FilterDatabase" vbProcedure="false">Sheet1!$A$2:$Y$3</definedName>
    <definedName function="false" hidden="false" name="cvss_coeff_adj" vbProcedure="false">#REF!</definedName>
    <definedName function="false" hidden="false" name="cvss_coeff_exploit" vbProcedure="false">#REF!</definedName>
    <definedName function="false" hidden="false" name="cvss_coeff_impact_c" vbProcedure="false">#REF!</definedName>
    <definedName function="false" hidden="false" name="cvss_coeff_impact_u" vbProcedure="false">#REF!</definedName>
    <definedName function="false" hidden="false" name="cvss_coeff_scope_factor" vbProcedure="false">#REF!</definedName>
    <definedName function="false" hidden="false" name="lookup_DisplayName_AC" vbProcedure="false">Notes!$A$12:$A$14</definedName>
    <definedName function="false" hidden="false" name="lookup_DisplayName_AV" vbProcedure="false">Notes!$A$5:$A$9</definedName>
    <definedName function="false" hidden="false" name="lookup_DisplayName_CIA" vbProcedure="false">Notes!$A$33:$A$35</definedName>
    <definedName function="false" hidden="false" name="lookup_DisplayName_PR" vbProcedure="false">Notes!$A$18:$A$21</definedName>
    <definedName function="false" hidden="false" name="lookup_DisplayName_S" vbProcedure="false">Notes!$A$29:$A$30</definedName>
    <definedName function="false" hidden="false" name="lookup_DisplayName_UI" vbProcedure="false">Notes!$A$24:$A$26</definedName>
    <definedName function="false" hidden="false" name="lookup_Values_AC" vbProcedure="false">#REF!</definedName>
    <definedName function="false" hidden="false" name="lookup_Values_AV" vbProcedure="false">#REF!</definedName>
    <definedName function="false" hidden="false" name="lookup_Values_CIA" vbProcedure="false">#REF!</definedName>
    <definedName function="false" hidden="false" name="lookup_Values_PR_Changed" vbProcedure="false">#REF!</definedName>
    <definedName function="false" hidden="false" name="lookup_Values_PR_Unchanged" vbProcedure="false">#REF!</definedName>
    <definedName function="false" hidden="false" name="lookup_Values_UI" vbProcedure="false">#REF!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<sst xmlns="http://schemas.openxmlformats.org/spreadsheetml/2006/main" count="94" uniqueCount="59">
  <si>
    <t xml:space="preserve">Basic Information</t>
  </si>
  <si>
    <t xml:space="preserve">Base Scoring (per Source)</t>
  </si>
  <si>
    <t xml:space="preserve">Controls</t>
  </si>
  <si>
    <t xml:space="preserve">Residual CVSS</t>
  </si>
  <si>
    <t xml:space="preserve">Safety Assessment</t>
  </si>
  <si>
    <t xml:space="preserve">Risk ID</t>
  </si>
  <si>
    <t xml:space="preserve">BOM</t>
  </si>
  <si>
    <t xml:space="preserve">Component</t>
  </si>
  <si>
    <t xml:space="preserve">Vulnerability ID</t>
  </si>
  <si>
    <t xml:space="preserve">Vulnerability Description</t>
  </si>
  <si>
    <t xml:space="preserve">Published Date</t>
  </si>
  <si>
    <t xml:space="preserve">CVSS</t>
  </si>
  <si>
    <t xml:space="preserve">Is KEV</t>
  </si>
  <si>
    <t xml:space="preserve">EPSS</t>
  </si>
  <si>
    <t xml:space="preserve">Score</t>
  </si>
  <si>
    <t xml:space="preserve">Description</t>
  </si>
  <si>
    <t xml:space="preserve">IDs</t>
  </si>
  <si>
    <t xml:space="preserve">Notes</t>
  </si>
  <si>
    <t xml:space="preserve">AV</t>
  </si>
  <si>
    <t xml:space="preserve">AC</t>
  </si>
  <si>
    <t xml:space="preserve">PR</t>
  </si>
  <si>
    <t xml:space="preserve">UI</t>
  </si>
  <si>
    <t xml:space="preserve">S</t>
  </si>
  <si>
    <t xml:space="preserve">C</t>
  </si>
  <si>
    <t xml:space="preserve">I</t>
  </si>
  <si>
    <t xml:space="preserve">A</t>
  </si>
  <si>
    <t xml:space="preserve">Safety Rating</t>
  </si>
  <si>
    <t xml:space="preserve">Overall Status</t>
  </si>
  <si>
    <t xml:space="preserve">Network</t>
  </si>
  <si>
    <t xml:space="preserve">Low</t>
  </si>
  <si>
    <t xml:space="preserve">None</t>
  </si>
  <si>
    <t xml:space="preserve">Unchanged</t>
  </si>
  <si>
    <t xml:space="preserve">Risk Scoring Details</t>
  </si>
  <si>
    <t xml:space="preserve">Cyber to Safety Heat-Map</t>
  </si>
  <si>
    <t xml:space="preserve">Look-ups</t>
  </si>
  <si>
    <t xml:space="preserve">Cyber Risk</t>
  </si>
  <si>
    <t xml:space="preserve">Min CVSS Score</t>
  </si>
  <si>
    <t xml:space="preserve">Negligible</t>
  </si>
  <si>
    <t xml:space="preserve">Minor / Marginal</t>
  </si>
  <si>
    <t xml:space="preserve">Serious</t>
  </si>
  <si>
    <t xml:space="preserve">Critical / Catastrophic</t>
  </si>
  <si>
    <t xml:space="preserve">Attack Vector (AV)</t>
  </si>
  <si>
    <t xml:space="preserve">Critical</t>
  </si>
  <si>
    <t xml:space="preserve">Uncontrolled</t>
  </si>
  <si>
    <t xml:space="preserve">N/A</t>
  </si>
  <si>
    <t xml:space="preserve">High</t>
  </si>
  <si>
    <t xml:space="preserve">Controlled</t>
  </si>
  <si>
    <t xml:space="preserve">Medium</t>
  </si>
  <si>
    <t xml:space="preserve">Adjacent</t>
  </si>
  <si>
    <t xml:space="preserve">Local</t>
  </si>
  <si>
    <t xml:space="preserve">Physical</t>
  </si>
  <si>
    <t xml:space="preserve">Attack Complexity (AC)</t>
  </si>
  <si>
    <t xml:space="preserve">Privileges Required (PR)</t>
  </si>
  <si>
    <t xml:space="preserve">PR \ Scope</t>
  </si>
  <si>
    <t xml:space="preserve">User Interaction (UI)</t>
  </si>
  <si>
    <t xml:space="preserve">Required</t>
  </si>
  <si>
    <t xml:space="preserve">Scope (S)</t>
  </si>
  <si>
    <t xml:space="preserve">Changed</t>
  </si>
  <si>
    <t xml:space="preserve">CIA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</si>
</sst>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%"/>
    <numFmt numFmtId="166" formatCode="General"/>
    <numFmt numFmtId="167" formatCode="0.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B4C7DC"/>
        <bgColor rgb="FF99CCFF"/>
      </patternFill>
    </fill>
    <fill>
      <patternFill patternType="solid">
        <fgColor rgb="FFDEDCE6"/>
        <bgColor rgb="FFFFD7D7"/>
      </patternFill>
    </fill>
    <fill>
      <patternFill patternType="solid">
        <fgColor rgb="FFFFF5CE"/>
        <bgColor rgb="FFF6F9D4"/>
      </patternFill>
    </fill>
    <fill>
      <patternFill patternType="solid">
        <fgColor rgb="FFF6F9D4"/>
        <bgColor rgb="FFFFF5CE"/>
      </patternFill>
    </fill>
    <fill>
      <patternFill patternType="solid">
        <fgColor rgb="FFFFD7D7"/>
        <bgColor rgb="FFFFCCCC"/>
      </patternFill>
    </fill>
    <fill>
      <patternFill patternType="solid">
        <fgColor rgb="FFFFDBB6"/>
        <bgColor rgb="FFFFD7D7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7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6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5CE"/>
          <bgColor rgb="FF000000"/>
        </patternFill>
      </fill>
    </dxf>
    <dxf>
      <fill>
        <patternFill patternType="solid">
          <fgColor rgb="FFF6F9D4"/>
          <bgColor rgb="FF000000"/>
        </patternFill>
      </fill>
    </dxf>
    <dxf>
      <fill>
        <patternFill patternType="solid">
          <fgColor rgb="FFFFD7D7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5CE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6F9D4"/>
      <rgbColor rgb="FFCCFFFF"/>
      <rgbColor rgb="FF660066"/>
      <rgbColor rgb="FFFF8080"/>
      <rgbColor rgb="FF0066CC"/>
      <rgbColor rgb="FFDE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D7D7"/>
      <rgbColor rgb="FF99CCFF"/>
      <rgbColor rgb="FFFFCCCC"/>
      <rgbColor rgb="FFCC99FF"/>
      <rgbColor rgb="FFFFDBB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Y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X18" activeCellId="0" sqref="X18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12.38"/>
    <col collapsed="false" customWidth="true" hidden="false" outlineLevel="0" max="2" min="2" style="2" width="18.64"/>
    <col collapsed="false" customWidth="true" hidden="false" outlineLevel="0" max="3" min="3" style="2" width="37.69"/>
    <col collapsed="false" customWidth="true" hidden="false" outlineLevel="0" max="4" min="4" style="1" width="19.61"/>
    <col collapsed="false" customWidth="true" hidden="false" outlineLevel="0" max="5" min="5" style="2" width="50.36"/>
    <col collapsed="false" customWidth="true" hidden="false" outlineLevel="0" max="6" min="6" style="1" width="22.02"/>
    <col collapsed="false" customWidth="true" hidden="false" outlineLevel="0" max="7" min="7" style="2" width="42.19"/>
    <col collapsed="false" customWidth="true" hidden="false" outlineLevel="0" max="8" min="8" style="2" width="14.33"/>
    <col collapsed="false" customWidth="true" hidden="false" outlineLevel="0" max="10" min="9" style="1" width="14.33"/>
    <col collapsed="false" customWidth="true" hidden="false" outlineLevel="0" max="13" min="11" style="1" width="21.04"/>
    <col collapsed="false" customWidth="true" hidden="false" outlineLevel="0" max="21" min="14" style="1" width="11.39"/>
    <col collapsed="false" customWidth="true" hidden="false" outlineLevel="0" max="22" min="22" style="3" width="41.08"/>
    <col collapsed="false" customWidth="true" hidden="false" outlineLevel="0" max="23" min="23" style="1" width="15.9"/>
    <col collapsed="false" customWidth="true" hidden="false" outlineLevel="0" max="24" min="24" style="1" width="18.54"/>
    <col collapsed="false" customWidth="true" hidden="false" outlineLevel="0" max="25" min="25" style="1" width="19.1"/>
  </cols>
  <sheetData>
    <row r="1" customFormat="false" ht="15" hidden="false" customHeight="false" outlineLevel="0" collapsed="false">
      <c r="A1" s="4" t="s">
        <v>0</v>
      </c>
      <c r="B1" s="4"/>
      <c r="C1" s="4"/>
      <c r="D1" s="4"/>
      <c r="E1" s="4"/>
      <c r="F1" s="4"/>
      <c r="G1" s="5" t="s">
        <v>1</v>
      </c>
      <c r="H1" s="5"/>
      <c r="I1" s="5"/>
      <c r="J1" s="5"/>
      <c r="K1" s="6" t="s">
        <v>2</v>
      </c>
      <c r="L1" s="6"/>
      <c r="M1" s="6"/>
      <c r="N1" s="7" t="s">
        <v>3</v>
      </c>
      <c r="O1" s="7"/>
      <c r="P1" s="7"/>
      <c r="Q1" s="7"/>
      <c r="R1" s="7"/>
      <c r="S1" s="7"/>
      <c r="T1" s="7"/>
      <c r="U1" s="7"/>
      <c r="V1" s="7"/>
      <c r="W1" s="7"/>
      <c r="X1" s="8" t="s">
        <v>4</v>
      </c>
      <c r="Y1" s="8"/>
    </row>
    <row r="2" customFormat="false" ht="15" hidden="false" customHeight="false" outlineLevel="0" collapsed="false">
      <c r="A2" s="4" t="s">
        <v>5</v>
      </c>
      <c r="B2" s="4" t="s">
        <v>6</v>
      </c>
      <c r="C2" s="4" t="s">
        <v>7</v>
      </c>
      <c r="D2" s="4" t="s">
        <v>8</v>
      </c>
      <c r="E2" s="4" t="s">
        <v>9</v>
      </c>
      <c r="F2" s="4" t="s">
        <v>10</v>
      </c>
      <c r="G2" s="5" t="s">
        <v>11</v>
      </c>
      <c r="H2" s="5" t="s">
        <v>12</v>
      </c>
      <c r="I2" s="5" t="s">
        <v>13</v>
      </c>
      <c r="J2" s="5" t="s">
        <v>14</v>
      </c>
      <c r="K2" s="6" t="s">
        <v>15</v>
      </c>
      <c r="L2" s="6" t="s">
        <v>16</v>
      </c>
      <c r="M2" s="6" t="s">
        <v>17</v>
      </c>
      <c r="N2" s="7" t="s">
        <v>18</v>
      </c>
      <c r="O2" s="7" t="s">
        <v>19</v>
      </c>
      <c r="P2" s="7" t="s">
        <v>20</v>
      </c>
      <c r="Q2" s="7" t="s">
        <v>21</v>
      </c>
      <c r="R2" s="7" t="s">
        <v>22</v>
      </c>
      <c r="S2" s="7" t="s">
        <v>23</v>
      </c>
      <c r="T2" s="7" t="s">
        <v>24</v>
      </c>
      <c r="U2" s="7" t="s">
        <v>25</v>
      </c>
      <c r="V2" s="7" t="s">
        <v>11</v>
      </c>
      <c r="W2" s="7" t="s">
        <v>14</v>
      </c>
      <c r="X2" s="9" t="s">
        <v>26</v>
      </c>
      <c r="Y2" s="9" t="s">
        <v>27</v>
      </c>
    </row>
    <row r="3" customFormat="false" ht="12.75" hidden="false" customHeight="true" outlineLevel="0" collapsed="false">
      <c r="A3" s="10"/>
      <c r="B3" s="11"/>
      <c r="C3" s="11"/>
      <c r="D3" s="10"/>
      <c r="E3" s="11"/>
      <c r="F3" s="10"/>
      <c r="G3" s="11"/>
      <c r="H3" s="11"/>
      <c r="I3" s="12"/>
      <c r="J3" s="10"/>
      <c r="K3" s="10"/>
      <c r="L3" s="10"/>
      <c r="M3" s="10"/>
      <c r="N3" s="13" t="s">
        <v>28</v>
      </c>
      <c r="O3" s="13" t="s">
        <v>29</v>
      </c>
      <c r="P3" s="13" t="s">
        <v>29</v>
      </c>
      <c r="Q3" s="13" t="s">
        <v>30</v>
      </c>
      <c r="R3" s="13" t="s">
        <v>31</v>
      </c>
      <c r="S3" s="13" t="s">
        <v>29</v>
      </c>
      <c r="T3" s="13" t="s">
        <v>30</v>
      </c>
      <c r="U3" s="13" t="s">
        <v>30</v>
      </c>
      <c r="V3" s="10" t="str">
        <f aca="false">"CVSS:3.0/AV:"&amp;_xlfn.SWITCH(N3,"Network","N","Adjacent","A","Local","L","Physical","P")&amp;"/AC:"&amp;LEFT(O3,1)&amp;"/PR:"&amp;LEFT(P3,1)&amp;"/UI:"&amp;_xlfn.SWITCH(Q3,"None","N","Required","R")&amp;"/S:"&amp;LEFT(R3,1)&amp;"/C:"&amp;LEFT(S3,1)&amp;"/I:"&amp;LEFT(T3,1)&amp;"/A:"&amp;LEFT(U3,1)</f>
        <v>CVSS:3.0/AV:N/AC:L/PR:L/UI:N/S:U/C:L/I:N/A:N</v>
      </c>
      <c r="W3" s="10" t="n">
        <f aca="false">GET_CVSS(N3, O3, P3, Q3, R3, S3, T3, U3)</f>
        <v>4.3</v>
      </c>
      <c r="X3" s="13"/>
      <c r="Y3" s="14" t="e">
        <f aca="false">INDEX(Notes!$E$4:H7,_xlfn.IFS( W3&gt;=Notes!$D$4, 1, W3&gt;=Notes!$D$5, 2, A2&gt;=Notes!$D$6, 3, A2&lt;Notes!$F$6,4 ),MATCH(X3,Notes!$E$3:$H$3,0))</f>
        <v>#N/A</v>
      </c>
    </row>
  </sheetData>
  <autoFilter ref="A2:Y3"/>
  <mergeCells count="5">
    <mergeCell ref="A1:F1"/>
    <mergeCell ref="G1:J1"/>
    <mergeCell ref="K1:M1"/>
    <mergeCell ref="N1:W1"/>
    <mergeCell ref="X1:Y1"/>
  </mergeCells>
  <conditionalFormatting sqref="Y3">
    <cfRule type="cellIs" priority="2" operator="equal" aboveAverage="0" equalAverage="0" bottom="0" percent="0" rank="0" text="" dxfId="7">
      <formula>"Controlled"</formula>
    </cfRule>
  </conditionalFormatting>
  <conditionalFormatting sqref="Y3">
    <cfRule type="cellIs" priority="3" operator="equal" aboveAverage="0" equalAverage="0" bottom="0" percent="0" rank="0" text="" dxfId="8">
      <formula>"Uncontrolled"</formula>
    </cfRule>
  </conditionalFormatting>
  <dataValidations count="9">
    <dataValidation allowBlank="true" errorStyle="stop" operator="equal" showDropDown="false" showErrorMessage="true" showInputMessage="false" sqref="X3" type="list">
      <formula1>Notes!$E$3:$H$3</formula1>
      <formula2>0</formula2>
    </dataValidation>
    <dataValidation allowBlank="true" errorStyle="stop" operator="equal" showDropDown="false" showErrorMessage="true" showInputMessage="false" sqref="N3" type="list">
      <formula1>lookup_DisplayName_AV</formula1>
      <formula2>0</formula2>
    </dataValidation>
    <dataValidation allowBlank="true" errorStyle="stop" operator="equal" showDropDown="false" showErrorMessage="true" showInputMessage="false" sqref="O3" type="list">
      <formula1>lookup_DisplayName_AC</formula1>
      <formula2>0</formula2>
    </dataValidation>
    <dataValidation allowBlank="true" errorStyle="stop" operator="equal" showDropDown="false" showErrorMessage="true" showInputMessage="false" sqref="P3" type="list">
      <formula1>lookup_DisplayName_PR</formula1>
      <formula2>0</formula2>
    </dataValidation>
    <dataValidation allowBlank="true" errorStyle="stop" operator="equal" showDropDown="false" showErrorMessage="true" showInputMessage="false" sqref="Q3" type="list">
      <formula1>lookup_DisplayName_UI</formula1>
      <formula2>0</formula2>
    </dataValidation>
    <dataValidation allowBlank="true" errorStyle="stop" operator="equal" showDropDown="false" showErrorMessage="true" showInputMessage="false" sqref="R3" type="list">
      <formula1>lookup_DisplayName_S</formula1>
      <formula2>0</formula2>
    </dataValidation>
    <dataValidation allowBlank="true" errorStyle="stop" operator="equal" showDropDown="false" showErrorMessage="true" showInputMessage="false" sqref="S3" type="list">
      <formula1>lookup_DisplayName_CIA</formula1>
      <formula2>0</formula2>
    </dataValidation>
    <dataValidation allowBlank="true" errorStyle="stop" operator="equal" showDropDown="false" showErrorMessage="true" showInputMessage="false" sqref="T3" type="list">
      <formula1>lookup_DisplayName_CIA</formula1>
      <formula2>0</formula2>
    </dataValidation>
    <dataValidation allowBlank="true" errorStyle="stop" operator="equal" showDropDown="false" showErrorMessage="true" showInputMessage="false" sqref="U3" type="list">
      <formula1>lookup_DisplayName_CIA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5" width="26.05"/>
    <col collapsed="false" customWidth="true" hidden="false" outlineLevel="0" max="2" min="2" style="15" width="10.85"/>
    <col collapsed="false" customWidth="true" hidden="false" outlineLevel="0" max="4" min="4" style="1" width="9.87"/>
    <col collapsed="false" customWidth="true" hidden="false" outlineLevel="0" max="8" min="5" style="3" width="13.75"/>
  </cols>
  <sheetData>
    <row r="1" customFormat="false" ht="12.8" hidden="false" customHeight="false" outlineLevel="0" collapsed="false">
      <c r="A1" s="16"/>
      <c r="B1" s="17"/>
    </row>
    <row r="2" customFormat="false" ht="15" hidden="false" customHeight="false" outlineLevel="0" collapsed="false">
      <c r="A2" s="18" t="s">
        <v>32</v>
      </c>
      <c r="B2" s="17"/>
      <c r="C2" s="19" t="s">
        <v>33</v>
      </c>
      <c r="D2" s="19"/>
      <c r="E2" s="19"/>
      <c r="F2" s="19"/>
      <c r="G2" s="19"/>
      <c r="H2" s="19"/>
    </row>
    <row r="3" customFormat="false" ht="23.85" hidden="false" customHeight="false" outlineLevel="0" collapsed="false">
      <c r="A3" s="19" t="s">
        <v>34</v>
      </c>
      <c r="C3" s="20" t="s">
        <v>35</v>
      </c>
      <c r="D3" s="21" t="s">
        <v>36</v>
      </c>
      <c r="E3" s="21" t="s">
        <v>37</v>
      </c>
      <c r="F3" s="21" t="s">
        <v>38</v>
      </c>
      <c r="G3" s="21" t="s">
        <v>39</v>
      </c>
      <c r="H3" s="21" t="s">
        <v>40</v>
      </c>
    </row>
    <row r="4" customFormat="false" ht="12.8" hidden="false" customHeight="false" outlineLevel="0" collapsed="false">
      <c r="A4" s="22" t="s">
        <v>41</v>
      </c>
      <c r="C4" s="23" t="s">
        <v>42</v>
      </c>
      <c r="D4" s="24" t="n">
        <v>9</v>
      </c>
      <c r="E4" s="13" t="s">
        <v>43</v>
      </c>
      <c r="F4" s="13" t="s">
        <v>43</v>
      </c>
      <c r="G4" s="13" t="s">
        <v>43</v>
      </c>
      <c r="H4" s="13" t="s">
        <v>43</v>
      </c>
    </row>
    <row r="5" customFormat="false" ht="12.8" hidden="false" customHeight="false" outlineLevel="0" collapsed="false">
      <c r="A5" s="25" t="s">
        <v>44</v>
      </c>
      <c r="C5" s="23" t="s">
        <v>45</v>
      </c>
      <c r="D5" s="24" t="n">
        <v>7</v>
      </c>
      <c r="E5" s="13" t="s">
        <v>46</v>
      </c>
      <c r="F5" s="13" t="s">
        <v>46</v>
      </c>
      <c r="G5" s="13" t="s">
        <v>43</v>
      </c>
      <c r="H5" s="13" t="s">
        <v>43</v>
      </c>
    </row>
    <row r="6" customFormat="false" ht="12.8" hidden="false" customHeight="false" outlineLevel="0" collapsed="false">
      <c r="A6" s="25" t="s">
        <v>28</v>
      </c>
      <c r="C6" s="23" t="s">
        <v>47</v>
      </c>
      <c r="D6" s="24" t="n">
        <v>4</v>
      </c>
      <c r="E6" s="13" t="s">
        <v>46</v>
      </c>
      <c r="F6" s="13" t="s">
        <v>46</v>
      </c>
      <c r="G6" s="13" t="s">
        <v>46</v>
      </c>
      <c r="H6" s="13" t="s">
        <v>43</v>
      </c>
    </row>
    <row r="7" customFormat="false" ht="12.8" hidden="false" customHeight="false" outlineLevel="0" collapsed="false">
      <c r="A7" s="25" t="s">
        <v>48</v>
      </c>
      <c r="C7" s="23" t="s">
        <v>29</v>
      </c>
      <c r="D7" s="24" t="n">
        <v>0</v>
      </c>
      <c r="E7" s="13" t="s">
        <v>46</v>
      </c>
      <c r="F7" s="13" t="s">
        <v>46</v>
      </c>
      <c r="G7" s="13" t="s">
        <v>46</v>
      </c>
      <c r="H7" s="13" t="s">
        <v>43</v>
      </c>
    </row>
    <row r="8" customFormat="false" ht="12.8" hidden="false" customHeight="false" outlineLevel="0" collapsed="false">
      <c r="A8" s="25" t="s">
        <v>49</v>
      </c>
    </row>
    <row r="9" customFormat="false" ht="12.8" hidden="false" customHeight="false" outlineLevel="0" collapsed="false">
      <c r="A9" s="25" t="s">
        <v>50</v>
      </c>
    </row>
    <row r="11" customFormat="false" ht="12.8" hidden="false" customHeight="false" outlineLevel="0" collapsed="false">
      <c r="A11" s="22" t="s">
        <v>51</v>
      </c>
    </row>
    <row r="12" customFormat="false" ht="12.8" hidden="false" customHeight="false" outlineLevel="0" collapsed="false">
      <c r="A12" s="25" t="s">
        <v>44</v>
      </c>
    </row>
    <row r="13" customFormat="false" ht="12.8" hidden="false" customHeight="false" outlineLevel="0" collapsed="false">
      <c r="A13" s="25" t="s">
        <v>29</v>
      </c>
    </row>
    <row r="14" customFormat="false" ht="12.8" hidden="false" customHeight="false" outlineLevel="0" collapsed="false">
      <c r="A14" s="25" t="s">
        <v>45</v>
      </c>
    </row>
    <row r="16" customFormat="false" ht="12.8" hidden="false" customHeight="false" outlineLevel="0" collapsed="false">
      <c r="A16" s="22" t="s">
        <v>52</v>
      </c>
      <c r="B16" s="3"/>
      <c r="C16" s="1"/>
      <c r="D16" s="3"/>
    </row>
    <row r="17" customFormat="false" ht="12.8" hidden="false" customHeight="false" outlineLevel="0" collapsed="false">
      <c r="A17" s="22" t="s">
        <v>53</v>
      </c>
      <c r="B17" s="3"/>
      <c r="C17" s="1"/>
      <c r="D17" s="3"/>
    </row>
    <row r="18" customFormat="false" ht="12.8" hidden="false" customHeight="false" outlineLevel="0" collapsed="false">
      <c r="A18" s="25" t="s">
        <v>44</v>
      </c>
      <c r="B18" s="3"/>
      <c r="C18" s="1"/>
      <c r="D18" s="3"/>
    </row>
    <row r="19" customFormat="false" ht="12.8" hidden="false" customHeight="false" outlineLevel="0" collapsed="false">
      <c r="A19" s="25" t="s">
        <v>30</v>
      </c>
      <c r="B19" s="3"/>
      <c r="C19" s="1"/>
      <c r="D19" s="3"/>
    </row>
    <row r="20" customFormat="false" ht="12.8" hidden="false" customHeight="false" outlineLevel="0" collapsed="false">
      <c r="A20" s="25" t="s">
        <v>29</v>
      </c>
      <c r="B20" s="3"/>
      <c r="C20" s="1"/>
      <c r="D20" s="3"/>
    </row>
    <row r="21" customFormat="false" ht="12.8" hidden="false" customHeight="false" outlineLevel="0" collapsed="false">
      <c r="A21" s="25" t="s">
        <v>45</v>
      </c>
      <c r="B21" s="3"/>
      <c r="C21" s="1"/>
      <c r="D21" s="3"/>
    </row>
    <row r="23" customFormat="false" ht="12.8" hidden="false" customHeight="false" outlineLevel="0" collapsed="false">
      <c r="A23" s="22" t="s">
        <v>54</v>
      </c>
    </row>
    <row r="24" customFormat="false" ht="12.8" hidden="false" customHeight="false" outlineLevel="0" collapsed="false">
      <c r="A24" s="25" t="s">
        <v>44</v>
      </c>
    </row>
    <row r="25" customFormat="false" ht="12.8" hidden="false" customHeight="false" outlineLevel="0" collapsed="false">
      <c r="A25" s="25" t="s">
        <v>30</v>
      </c>
    </row>
    <row r="26" customFormat="false" ht="12.8" hidden="false" customHeight="false" outlineLevel="0" collapsed="false">
      <c r="A26" s="25" t="s">
        <v>55</v>
      </c>
    </row>
    <row r="28" customFormat="false" ht="12.8" hidden="false" customHeight="false" outlineLevel="0" collapsed="false">
      <c r="A28" s="22" t="s">
        <v>56</v>
      </c>
      <c r="B28" s="3"/>
      <c r="C28" s="1"/>
      <c r="D28" s="3"/>
    </row>
    <row r="29" customFormat="false" ht="12.8" hidden="false" customHeight="false" outlineLevel="0" collapsed="false">
      <c r="A29" s="25" t="s">
        <v>31</v>
      </c>
      <c r="B29" s="3"/>
      <c r="C29" s="1"/>
      <c r="D29" s="3"/>
    </row>
    <row r="30" customFormat="false" ht="12.8" hidden="false" customHeight="false" outlineLevel="0" collapsed="false">
      <c r="A30" s="25" t="s">
        <v>57</v>
      </c>
      <c r="B30" s="3"/>
      <c r="C30" s="1"/>
      <c r="D30" s="3"/>
    </row>
    <row r="32" customFormat="false" ht="12.8" hidden="false" customHeight="false" outlineLevel="0" collapsed="false">
      <c r="A32" s="22" t="s">
        <v>58</v>
      </c>
    </row>
    <row r="33" customFormat="false" ht="12.8" hidden="false" customHeight="false" outlineLevel="0" collapsed="false">
      <c r="A33" s="25" t="s">
        <v>30</v>
      </c>
    </row>
    <row r="34" customFormat="false" ht="12.8" hidden="false" customHeight="false" outlineLevel="0" collapsed="false">
      <c r="A34" s="25" t="s">
        <v>29</v>
      </c>
    </row>
    <row r="35" customFormat="false" ht="12.8" hidden="false" customHeight="false" outlineLevel="0" collapsed="false">
      <c r="A35" s="25" t="s">
        <v>45</v>
      </c>
    </row>
    <row r="38" customFormat="false" ht="12.8" hidden="false" customHeight="false" outlineLevel="0" collapsed="false">
      <c r="B38" s="26"/>
    </row>
    <row r="39" customFormat="false" ht="12.8" hidden="false" customHeight="false" outlineLevel="0" collapsed="false">
      <c r="B39" s="26"/>
    </row>
    <row r="40" customFormat="false" ht="12.8" hidden="false" customHeight="false" outlineLevel="0" collapsed="false">
      <c r="B40" s="26"/>
    </row>
    <row r="41" customFormat="false" ht="12.8" hidden="false" customHeight="false" outlineLevel="0" collapsed="false">
      <c r="B41" s="26"/>
    </row>
    <row r="42" customFormat="false" ht="12.8" hidden="false" customHeight="false" outlineLevel="0" collapsed="false">
      <c r="B42" s="26"/>
    </row>
  </sheetData>
  <mergeCells count="1">
    <mergeCell ref="C2:H2"/>
  </mergeCells>
  <conditionalFormatting sqref="E4:H7">
    <cfRule type="cellIs" priority="2" operator="equal" aboveAverage="0" equalAverage="0" bottom="0" percent="0" rank="0" text="" dxfId="7">
      <formula>"Controlled"</formula>
    </cfRule>
    <cfRule type="cellIs" priority="3" operator="equal" aboveAverage="0" equalAverage="0" bottom="0" percent="0" rank="0" text="" dxfId="8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101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dcterms:modified xsi:type="dcterms:W3CDTF">2026-04-18T17:13:10Z</dcterms:modified>
  <cp:revision>31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